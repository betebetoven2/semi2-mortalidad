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D:\cys\cys_u\semi2\semi2_fase3_ml\"/>
    </mc:Choice>
  </mc:AlternateContent>
  <xr:revisionPtr revIDLastSave="0" documentId="8_{CF31CA4D-7255-47ED-8686-6D83BF765F08}" xr6:coauthVersionLast="47" xr6:coauthVersionMax="47" xr10:uidLastSave="{00000000-0000-0000-0000-000000000000}"/>
  <bookViews>
    <workbookView xWindow="-108" yWindow="-108" windowWidth="23256" windowHeight="13176" tabRatio="500" xr2:uid="{00000000-000D-0000-FFFF-FFFF00000000}"/>
  </bookViews>
  <sheets>
    <sheet name="Resumen" sheetId="1" r:id="rId1"/>
    <sheet name="Tarifas y Fuentes" sheetId="2" r:id="rId2"/>
    <sheet name="Costos de Personal" sheetId="3" r:id="rId3"/>
    <sheet name="Costos No Personal" sheetId="4" r:id="rId4"/>
    <sheet name="Cronograma de Pagos" sheetId="5" r:id="rId5"/>
    <sheet name="Referencia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5" l="1"/>
  <c r="E8" i="4"/>
  <c r="E9" i="4" s="1"/>
  <c r="C13" i="1" s="1"/>
  <c r="E7" i="4"/>
  <c r="E6" i="4"/>
  <c r="G10" i="3"/>
  <c r="F10" i="3"/>
  <c r="E10" i="3"/>
  <c r="D10" i="3"/>
  <c r="C10" i="3"/>
  <c r="G9" i="3"/>
  <c r="G8" i="3"/>
  <c r="G7" i="3"/>
  <c r="G6" i="3"/>
  <c r="D9" i="2"/>
  <c r="E9" i="2" s="1"/>
  <c r="D8" i="2"/>
  <c r="E8" i="2" s="1"/>
  <c r="D7" i="2"/>
  <c r="E7" i="2" s="1"/>
  <c r="D6" i="2"/>
  <c r="E6" i="2" s="1"/>
  <c r="C22" i="1"/>
  <c r="C21" i="1"/>
  <c r="C20" i="1"/>
  <c r="C19" i="1"/>
  <c r="H9" i="3" l="1"/>
  <c r="D22" i="1"/>
  <c r="F9" i="2"/>
  <c r="I9" i="3"/>
  <c r="H8" i="3"/>
  <c r="F8" i="2"/>
  <c r="D21" i="1"/>
  <c r="I8" i="3"/>
  <c r="F7" i="2"/>
  <c r="H7" i="3"/>
  <c r="D20" i="1"/>
  <c r="I7" i="3"/>
  <c r="D19" i="1"/>
  <c r="F6" i="2"/>
  <c r="H6" i="3"/>
  <c r="I6" i="3" s="1"/>
  <c r="I10" i="3" s="1"/>
  <c r="C12" i="1" s="1"/>
  <c r="C14" i="1" s="1"/>
  <c r="E10" i="5" l="1"/>
  <c r="E9" i="5"/>
  <c r="E8" i="5"/>
  <c r="E7" i="5"/>
  <c r="E6" i="5"/>
  <c r="E11" i="5" s="1"/>
</calcChain>
</file>

<file path=xl/sharedStrings.xml><?xml version="1.0" encoding="utf-8"?>
<sst xmlns="http://schemas.openxmlformats.org/spreadsheetml/2006/main" count="114" uniqueCount="102">
  <si>
    <t>Propuesta Financiera de Consultoría</t>
  </si>
  <si>
    <t>Plataforma Analítica de Mortalidad End to End</t>
  </si>
  <si>
    <t>Seminario de Sistemas 2, Sección A — Escuela de Vacaciones 2026</t>
  </si>
  <si>
    <t>Modalidad de contratación</t>
  </si>
  <si>
    <t>Suma alzada (lump sum), pagos asociados a hitos de entrega, bajo el esquema de honorario todo incluido aplicado por el PNUD a sus contratos individuales (UNDP, 2025)</t>
  </si>
  <si>
    <t>Duración del proyecto</t>
  </si>
  <si>
    <t>4 meses calendario, conforme al Project Charter del proyecto</t>
  </si>
  <si>
    <t>Tipo de cambio aplicado</t>
  </si>
  <si>
    <t>Fuente: Living in Guatemala (2026), tipo de cambio del 8 de marzo de 2026.</t>
  </si>
  <si>
    <t>Resumen de costos</t>
  </si>
  <si>
    <t>Componente</t>
  </si>
  <si>
    <t>Monto (USD)</t>
  </si>
  <si>
    <t>Costo de personal</t>
  </si>
  <si>
    <t>Costo no personal (nube y licencias)</t>
  </si>
  <si>
    <t>Costo total del proyecto (suma alzada)</t>
  </si>
  <si>
    <t>Composición del equipo</t>
  </si>
  <si>
    <t>Rol</t>
  </si>
  <si>
    <t>Persona-mes asignados</t>
  </si>
  <si>
    <t>Tarifa mensual (USD)</t>
  </si>
  <si>
    <t>Ingeniero de Datos</t>
  </si>
  <si>
    <t>Gerente de Proyecto</t>
  </si>
  <si>
    <t>Científico de Datos</t>
  </si>
  <si>
    <t>Analista de Datos / Desarrollador BI</t>
  </si>
  <si>
    <t>Nota metodológica: las tarifas de personal se basan en datos de mercado verificados para Guatemala (ERI SalaryExpert, 2026), consistente con el principio Flemming de la Comisión de Administración Pública Internacional, según el cual el personal contratado localmente se remunera con base en encuestas del mercado laboral local y no en la escala internacional (ICSC; UN Policy Portal, s.f.). La hoja 'Tarifas y Fuentes' presenta la escala de honorarios de consultores internacionales de Naciones Unidas únicamente como referencia comparativa, no como base de cálculo.</t>
  </si>
  <si>
    <t>Benchmarking de Tarifas por Rol</t>
  </si>
  <si>
    <t>Mercado laboral de Guatemala, datos verificados a 2026</t>
  </si>
  <si>
    <t>Salario anual
promedio (GTQ)</t>
  </si>
  <si>
    <t>Salario anual
promedio (USD)</t>
  </si>
  <si>
    <t>Tarifa mensual
(USD)</t>
  </si>
  <si>
    <t>Tarifa mensual
usada (USD)</t>
  </si>
  <si>
    <t>Fuente</t>
  </si>
  <si>
    <t>ERI SalaryExpert (2026). Computer Software Engineer Salary in Guatemala. Recuperado de salaryexpert.com. Se usa como referente directo de Ingeniero de Datos al no existir una serie nacional separada para esa denominacion especifica en la base de ERI para Guatemala; ambos roles comparten el mismo perfil de formacion y herramientas (programacion, bases de datos, arquitectura de software).</t>
  </si>
  <si>
    <t>ERI SalaryExpert (2026). Program Project Manager Salary in Guatemala City, Guatemala. Recuperado de salaryexpert.com.</t>
  </si>
  <si>
    <t>Cientifico de Datos</t>
  </si>
  <si>
    <t>ERI SalaryExpert (2026). Data Scientist Salary in Guatemala City, Guatemala. Recuperado de salaryexpert.com.</t>
  </si>
  <si>
    <t>ERI SalaryExpert (2026). Data Analyst Salary in Guatemala. Recuperado de salaryexpert.com.</t>
  </si>
  <si>
    <t>Referencia comparativa: escala de honorarios de consultores internacionales de la ONU</t>
  </si>
  <si>
    <t>Nivel</t>
  </si>
  <si>
    <t>Tarifa diaria
minima (USD)</t>
  </si>
  <si>
    <t>Tarifa diaria
maxima (USD)</t>
  </si>
  <si>
    <t>Tarifa mensual
minima (USD)</t>
  </si>
  <si>
    <t>Tarifa mensual
maxima (USD)</t>
  </si>
  <si>
    <t>A</t>
  </si>
  <si>
    <t>United Nations Office of Human Resources (2025). Policy Guideline OHR/PG/2025/2: Fee ranges for international consultants and individual contractors, 17 de enero de 2025. policy.un.org. Esta misma fuente respalda los 5 niveles (A a E) de esta tabla.</t>
  </si>
  <si>
    <t>B</t>
  </si>
  <si>
    <t>C</t>
  </si>
  <si>
    <t>D</t>
  </si>
  <si>
    <t>E</t>
  </si>
  <si>
    <t>Esta escala corresponde a consultores internacionales desplegados fuera de su pais de residencia, con compensacion que incorpora viaticos, dificultad y reubicacion. Las tarifas de este proyecto, calculadas para personal contratado localmente en Guatemala, son consistentes con el principio Flemming de la Comision de Administracion Publica Internacional (ICSC), que exige remunerar al personal local con base en el mercado laboral de la sede de trabajo y no en la escala internacional (UN Policy Portal, s.f.). Por esa razon, las tarifas locales utilizadas en esta propuesta se ubican por debajo del nivel A de la escala internacional, lo cual es metodologicamente correcto y no representa una subestimacion del valor del trabajo realizado.</t>
  </si>
  <si>
    <t>Costos de Personal por Rol y Mes</t>
  </si>
  <si>
    <t>Asignacion en persona-mes (FTE) sobre los 4 meses del proyecto</t>
  </si>
  <si>
    <t>Mes 1
(FTE)</t>
  </si>
  <si>
    <t>Mes 2
(FTE)</t>
  </si>
  <si>
    <t>Mes 3
(FTE)</t>
  </si>
  <si>
    <t>Mes 4
(FTE)</t>
  </si>
  <si>
    <t>Total
persona-mes</t>
  </si>
  <si>
    <t>Costo total
(USD)</t>
  </si>
  <si>
    <t>Total</t>
  </si>
  <si>
    <t>La asignacion de persona-mes por rol y mes refleja la intensidad de cada fase del proyecto segun el cronograma del Project Charter: el mes 1 concentra la ingesta y arquitectura de datos (Fase 1); el mes 2 concentra la transformacion y el modelado dimensional (Fase 2), con apoyo adicional de ingenieria de datos para el sistema de respaldo; los meses 3 y 4 concentran el aprendizaje automatico, la visualizacion analitica y el cierre de la consultoria con el informe final (Fase 3). La gerencia de proyecto mantiene una asignacion continua y se intensifica en el cierre para la elaboracion del informe final y la gestion de la defensa.</t>
  </si>
  <si>
    <t>Costos No Personal (Nube y Licencias)</t>
  </si>
  <si>
    <t>Estimacion para 4 meses de proyecto, tarifas verificadas a 2026</t>
  </si>
  <si>
    <t>Concepto</t>
  </si>
  <si>
    <t>Tarifa unitaria
(USD)</t>
  </si>
  <si>
    <t>Consumo
mensual estimado</t>
  </si>
  <si>
    <t>Costo total
4 meses (USD)</t>
  </si>
  <si>
    <t>Fuente y supuesto de estimacion</t>
  </si>
  <si>
    <t>Databricks SQL Serverless (DBU)</t>
  </si>
  <si>
    <t>Tarifa verificada en Databricks (2026), Databricks Lakehouse Pricing, databricks.com/product/pricing/databricks-sql, USD 0.70 por DBU para SQL Serverless en regiones de EE.UU. El consumo mensual de 300 DBU es un supuesto de estimacion propio, basado en cargas intermitentes de transformacion ETL y consultas analiticas tipicas de un equipo de este tamano, no en una medicion de facturacion real.</t>
  </si>
  <si>
    <t>AWS S3 Standard Storage (GB-mes)</t>
  </si>
  <si>
    <t>Tarifa verificada en Amazon Web Services (2026), Amazon S3 Pricing, aws.amazon.com/s3/pricing, USD 0.023 por GB-mes para S3 Standard en la region us-east-1 (primeros 50 TB). El volumen de 50 GB es un supuesto de estimacion propio que cubre los archivos crudos, los respaldos en Parquet y la replica de auditoria del proyecto, con margen amplio sobre el volumen real observado.</t>
  </si>
  <si>
    <t>Microsoft Power BI Pro (licencia por usuario)</t>
  </si>
  <si>
    <t>Tarifa oficial vigente de Microsoft (2026), Power BI Pricing, microsoft.com/en-us/power-platform/products/power-bi/pricing, USD 14.00 por usuario al mes, vigente desde abril de 2025. Se asume una licencia por cada uno de los 3 integrantes del equipo durante los 4 meses del proyecto.</t>
  </si>
  <si>
    <t>Total costo no personal (4 meses)</t>
  </si>
  <si>
    <t>Cronograma de Pagos por Hito</t>
  </si>
  <si>
    <t>Desembolsos asociados a los hitos del Project Charter</t>
  </si>
  <si>
    <t>Hito</t>
  </si>
  <si>
    <t>Entregable asociado</t>
  </si>
  <si>
    <t>Porcentaje
del total</t>
  </si>
  <si>
    <t>Monto
(USD)</t>
  </si>
  <si>
    <t>Hito 1</t>
  </si>
  <si>
    <t>Entrega y defensa de la Fase 1: Fundamentos de Datos</t>
  </si>
  <si>
    <t>Hito 2</t>
  </si>
  <si>
    <t>Entrega y defensa de la Fase 2: Transformacion y Almacenamiento</t>
  </si>
  <si>
    <t>Hito 3</t>
  </si>
  <si>
    <t>Tarea complementaria de integraciones con herramientas de procesamiento</t>
  </si>
  <si>
    <t>Hito 4</t>
  </si>
  <si>
    <t>Entrega y defensa de la Fase 3: Aprendizaje Automatico y Business Intelligence</t>
  </si>
  <si>
    <t>Hito 5</t>
  </si>
  <si>
    <t>Entrega del informe final de consultoria y cierre del proyecto</t>
  </si>
  <si>
    <t>El esquema de pago contra hitos, en lugar de pago periodico fijo, es consistente con el modelo de contratacion por producto (output-based) que aplica el PNUD a sus contratos individuales, en el cual el pago se libera contra la entrega y aceptacion satisfactoria de cada producto, no contra el tiempo transcurrido (UNDP, 2025; UN Policy Portal, s.f.).</t>
  </si>
  <si>
    <t>Referencias</t>
  </si>
  <si>
    <t>Amazon Web Services. (2026). Amazon S3 pricing. aws.amazon.com/s3/pricing</t>
  </si>
  <si>
    <t>Databricks. (2026). Databricks Lakehouse pricing. databricks.com/product/pricing/databricks-sql</t>
  </si>
  <si>
    <t>ERI SalaryExpert. (2026). Computer Software Engineer Salary in Guatemala. salaryexpert.com/salary/job/computer-software-engineer/guatemala</t>
  </si>
  <si>
    <t>ERI SalaryExpert. (2026). Data Analyst Salary in Guatemala. salaryexpert.com/salary/job/data-analyst/guatemala</t>
  </si>
  <si>
    <t>ERI SalaryExpert. (2026). Data Scientist Salary in Guatemala City, Guatemala. salaryexpert.com/salary/job/data-scientist/guatemala/guatemala-city</t>
  </si>
  <si>
    <t>ERI SalaryExpert. (2026). Program Project Manager Salary in Guatemala City, Guatemala. salaryexpert.com/salary/job/program-project-manager/guatemala/guatemala-city</t>
  </si>
  <si>
    <t>Living in Guatemala. (2026). Salarios Guatemala 2026: Q3,612 minimo + 20 profesiones. livinginguatemala.com/es/salarios</t>
  </si>
  <si>
    <t>Microsoft. (2026). Power BI pricing. microsoft.com/en-us/power-platform/products/power-bi/pricing</t>
  </si>
  <si>
    <t>United Nations Office of Human Resources. (2025). Policy Guideline OHR/PG/2025/2: Fee ranges for international consultants and individual contractors. policy.un.org</t>
  </si>
  <si>
    <t>UN Policy Portal. (s.f.). Consultants and individual contractors. policy.un.org/en/human-resources/other-personnel/consultants-and-individual-contractors</t>
  </si>
  <si>
    <t>United Nations Development Programme. (2025). Individual Contract. popp.undp.org/policy-page/individual-contract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</si>
</sst>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0.00&quot; = USD 1.00&quot;"/>
    <numFmt numFmtId="165" formatCode="\$#,##0.00"/>
    <numFmt numFmtId="166" formatCode="\Q#,##0.00"/>
    <numFmt numFmtId="167" formatCode="\$#,##0.000"/>
    <numFmt numFmtId="168" formatCode="0.0%"/>
  </numFmts>
  <fonts count="10" x14ac:knownFonts="1">
    <font>
      <sz val="11"/>
      <color theme="1"/>
      <name val="Calibri"/>
      <family val="2"/>
      <charset val="1"/>
    </font>
    <font>
      <b/>
      <sz val="16"/>
      <color rgb="FF1F4E5C"/>
      <name val="Arial"/>
      <charset val="1"/>
    </font>
    <font>
      <i/>
      <sz val="11"/>
      <color rgb="FF404040"/>
      <name val="Arial"/>
      <charset val="1"/>
    </font>
    <font>
      <b/>
      <sz val="10"/>
      <color rgb="FF000000"/>
      <name val="Arial"/>
      <charset val="1"/>
    </font>
    <font>
      <sz val="10"/>
      <color rgb="FF000000"/>
      <name val="Arial"/>
      <charset val="1"/>
    </font>
    <font>
      <sz val="10"/>
      <color rgb="FF0000FF"/>
      <name val="Arial"/>
      <charset val="1"/>
    </font>
    <font>
      <i/>
      <sz val="9"/>
      <color rgb="FF666666"/>
      <name val="Arial"/>
      <charset val="1"/>
    </font>
    <font>
      <b/>
      <sz val="12"/>
      <color rgb="FF1F4E5C"/>
      <name val="Arial"/>
      <charset val="1"/>
    </font>
    <font>
      <b/>
      <sz val="11"/>
      <color rgb="FFFFFFFF"/>
      <name val="Arial"/>
      <charset val="1"/>
    </font>
    <font>
      <sz val="10"/>
      <name val="Arial"/>
      <charset val="1"/>
    </font>
  </fonts>
  <fills count="4">
    <fill>
      <patternFill patternType="none"/>
    </fill>
    <fill>
      <patternFill patternType="gray125"/>
    </fill>
    <fill>
      <patternFill patternType="solid">
        <fgColor rgb="FF1F4E5C"/>
        <bgColor rgb="FF404040"/>
      </patternFill>
    </fill>
    <fill>
      <patternFill patternType="solid">
        <fgColor rgb="FFFCE4D6"/>
        <b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9">
    <xf numFmtId="0" fontId="0" fillId="0" borderId="0" xfId="0"/>
    <xf numFmtId="0" fontId="6" fillId="0" borderId="1" xfId="0" applyFont="1" applyBorder="1" applyAlignment="1">
      <alignment horizontal="left" vertical="top" wrapText="1"/>
    </xf>
    <xf numFmtId="0" fontId="6"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164" fontId="5" fillId="0" borderId="0" xfId="0" applyNumberFormat="1" applyFont="1"/>
    <xf numFmtId="0" fontId="6" fillId="0" borderId="1" xfId="0" applyFont="1" applyBorder="1" applyAlignment="1">
      <alignment horizontal="left" wrapText="1"/>
    </xf>
    <xf numFmtId="0" fontId="7" fillId="0" borderId="0" xfId="0" applyFont="1"/>
    <xf numFmtId="0" fontId="8" fillId="2" borderId="1" xfId="0" applyFont="1" applyFill="1" applyBorder="1" applyAlignment="1">
      <alignment horizontal="center" vertical="center" wrapText="1"/>
    </xf>
    <xf numFmtId="0" fontId="4" fillId="0" borderId="1" xfId="0" applyFont="1" applyBorder="1" applyAlignment="1">
      <alignment horizontal="left"/>
    </xf>
    <xf numFmtId="165" fontId="4" fillId="0" borderId="1" xfId="0" applyNumberFormat="1" applyFont="1" applyBorder="1" applyAlignment="1">
      <alignment horizontal="center" vertical="center" wrapText="1"/>
    </xf>
    <xf numFmtId="0" fontId="3" fillId="3" borderId="1" xfId="0" applyFont="1" applyFill="1" applyBorder="1" applyAlignment="1">
      <alignment horizontal="left"/>
    </xf>
    <xf numFmtId="165" fontId="3" fillId="3"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0" fontId="4" fillId="0" borderId="1" xfId="0" applyFont="1" applyBorder="1" applyAlignment="1">
      <alignment horizontal="left" wrapText="1"/>
    </xf>
    <xf numFmtId="166"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 fontId="5"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8" fontId="5" fillId="0" borderId="1" xfId="0" applyNumberFormat="1" applyFont="1" applyBorder="1" applyAlignment="1">
      <alignment horizontal="center" vertical="center" wrapText="1"/>
    </xf>
    <xf numFmtId="168" fontId="3" fillId="3" borderId="1" xfId="0" applyNumberFormat="1" applyFont="1" applyFill="1" applyBorder="1" applyAlignment="1">
      <alignment horizontal="center" vertical="center" wrapText="1"/>
    </xf>
    <xf numFmtId="0" fontId="9" fillId="0" borderId="1" xfId="0" applyFont="1" applyBorder="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4E5C"/>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4"/>
  <sheetViews>
    <sheetView showGridLines="0" tabSelected="1" topLeftCell="A5" zoomScaleNormal="100" workbookViewId="0">
      <selection activeCell="D8" sqref="D8"/>
    </sheetView>
  </sheetViews>
  <sheetFormatPr baseColWidth="10" defaultColWidth="8.6640625" defaultRowHeight="14.4" x14ac:dyDescent="0.3"/>
  <cols>
    <col min="1" max="1" width="3" customWidth="1"/>
    <col min="2" max="2" width="32" customWidth="1"/>
    <col min="3" max="3" width="35" customWidth="1"/>
    <col min="4" max="4" width="32.5546875" customWidth="1"/>
    <col min="5" max="5" width="3" customWidth="1"/>
  </cols>
  <sheetData>
    <row r="2" spans="2:4" ht="21" x14ac:dyDescent="0.4">
      <c r="B2" s="3" t="s">
        <v>0</v>
      </c>
    </row>
    <row r="3" spans="2:4" x14ac:dyDescent="0.3">
      <c r="B3" s="4" t="s">
        <v>1</v>
      </c>
    </row>
    <row r="4" spans="2:4" x14ac:dyDescent="0.3">
      <c r="B4" s="4" t="s">
        <v>2</v>
      </c>
    </row>
    <row r="6" spans="2:4" x14ac:dyDescent="0.3">
      <c r="B6" s="5" t="s">
        <v>3</v>
      </c>
      <c r="C6" s="6" t="s">
        <v>4</v>
      </c>
    </row>
    <row r="7" spans="2:4" x14ac:dyDescent="0.3">
      <c r="B7" s="5" t="s">
        <v>5</v>
      </c>
      <c r="C7" s="6" t="s">
        <v>6</v>
      </c>
    </row>
    <row r="8" spans="2:4" ht="30" customHeight="1" x14ac:dyDescent="0.3">
      <c r="B8" s="5" t="s">
        <v>7</v>
      </c>
      <c r="C8" s="7">
        <v>7.66</v>
      </c>
      <c r="D8" s="8" t="s">
        <v>8</v>
      </c>
    </row>
    <row r="10" spans="2:4" ht="15.6" x14ac:dyDescent="0.3">
      <c r="B10" s="9" t="s">
        <v>9</v>
      </c>
    </row>
    <row r="11" spans="2:4" x14ac:dyDescent="0.3">
      <c r="B11" s="10" t="s">
        <v>10</v>
      </c>
      <c r="C11" s="10" t="s">
        <v>11</v>
      </c>
    </row>
    <row r="12" spans="2:4" x14ac:dyDescent="0.3">
      <c r="B12" s="11" t="s">
        <v>12</v>
      </c>
      <c r="C12" s="12">
        <f>'Costos de Personal'!I10</f>
        <v>19265.608681462138</v>
      </c>
    </row>
    <row r="13" spans="2:4" x14ac:dyDescent="0.3">
      <c r="B13" s="11" t="s">
        <v>13</v>
      </c>
      <c r="C13" s="12">
        <f>'Costos No Personal'!E9</f>
        <v>1012.6</v>
      </c>
    </row>
    <row r="14" spans="2:4" x14ac:dyDescent="0.3">
      <c r="B14" s="13" t="s">
        <v>14</v>
      </c>
      <c r="C14" s="14">
        <f>C12+C13</f>
        <v>20278.208681462136</v>
      </c>
    </row>
    <row r="17" spans="2:4" ht="15.6" x14ac:dyDescent="0.3">
      <c r="B17" s="9" t="s">
        <v>15</v>
      </c>
    </row>
    <row r="18" spans="2:4" ht="27.6" x14ac:dyDescent="0.3">
      <c r="B18" s="10" t="s">
        <v>16</v>
      </c>
      <c r="C18" s="10" t="s">
        <v>17</v>
      </c>
      <c r="D18" s="10" t="s">
        <v>18</v>
      </c>
    </row>
    <row r="19" spans="2:4" x14ac:dyDescent="0.3">
      <c r="B19" s="11" t="s">
        <v>19</v>
      </c>
      <c r="C19" s="15">
        <f>'Costos de Personal'!G6</f>
        <v>3</v>
      </c>
      <c r="D19" s="12">
        <f>'Tarifas y Fuentes'!E6</f>
        <v>3490.9051348999128</v>
      </c>
    </row>
    <row r="20" spans="2:4" x14ac:dyDescent="0.3">
      <c r="B20" s="11" t="s">
        <v>20</v>
      </c>
      <c r="C20" s="15">
        <f>'Costos de Personal'!G7</f>
        <v>1.5</v>
      </c>
      <c r="D20" s="12">
        <f>'Tarifas y Fuentes'!E7</f>
        <v>2859.4865100087031</v>
      </c>
    </row>
    <row r="21" spans="2:4" x14ac:dyDescent="0.3">
      <c r="B21" s="11" t="s">
        <v>21</v>
      </c>
      <c r="C21" s="15">
        <f>'Costos de Personal'!G8</f>
        <v>1</v>
      </c>
      <c r="D21" s="12">
        <f>'Tarifas y Fuentes'!E8</f>
        <v>2820.1044386422977</v>
      </c>
    </row>
    <row r="22" spans="2:4" x14ac:dyDescent="0.3">
      <c r="B22" s="11" t="s">
        <v>22</v>
      </c>
      <c r="C22" s="15">
        <f>'Costos de Personal'!G9</f>
        <v>0.75</v>
      </c>
      <c r="D22" s="12">
        <f>'Tarifas y Fuentes'!E9</f>
        <v>2244.7454308093993</v>
      </c>
    </row>
    <row r="24" spans="2:4" ht="90" customHeight="1" x14ac:dyDescent="0.3">
      <c r="B24" s="2" t="s">
        <v>23</v>
      </c>
      <c r="C24" s="2"/>
      <c r="D24" s="2"/>
    </row>
  </sheetData>
  <mergeCells count="1">
    <mergeCell ref="B24:D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9"/>
  <sheetViews>
    <sheetView showGridLines="0" zoomScaleNormal="100" workbookViewId="0"/>
  </sheetViews>
  <sheetFormatPr baseColWidth="10" defaultColWidth="8.6640625" defaultRowHeight="14.4" x14ac:dyDescent="0.3"/>
  <cols>
    <col min="1" max="1" width="3" customWidth="1"/>
    <col min="2" max="2" width="30" customWidth="1"/>
    <col min="3" max="6" width="16" customWidth="1"/>
    <col min="7" max="7" width="60" customWidth="1"/>
  </cols>
  <sheetData>
    <row r="2" spans="2:7" ht="21" x14ac:dyDescent="0.4">
      <c r="B2" s="3" t="s">
        <v>24</v>
      </c>
    </row>
    <row r="3" spans="2:7" x14ac:dyDescent="0.3">
      <c r="B3" s="4" t="s">
        <v>25</v>
      </c>
    </row>
    <row r="5" spans="2:7" ht="41.4" x14ac:dyDescent="0.3">
      <c r="B5" s="10" t="s">
        <v>16</v>
      </c>
      <c r="C5" s="10" t="s">
        <v>26</v>
      </c>
      <c r="D5" s="10" t="s">
        <v>27</v>
      </c>
      <c r="E5" s="10" t="s">
        <v>28</v>
      </c>
      <c r="F5" s="10" t="s">
        <v>29</v>
      </c>
      <c r="G5" s="10" t="s">
        <v>30</v>
      </c>
    </row>
    <row r="6" spans="2:7" ht="60" customHeight="1" x14ac:dyDescent="0.3">
      <c r="B6" s="16" t="s">
        <v>19</v>
      </c>
      <c r="C6" s="17">
        <v>320884</v>
      </c>
      <c r="D6" s="12">
        <f>C6/Resumen!C8</f>
        <v>41890.861618798954</v>
      </c>
      <c r="E6" s="12">
        <f>D6/12</f>
        <v>3490.9051348999128</v>
      </c>
      <c r="F6" s="12">
        <f>E6</f>
        <v>3490.9051348999128</v>
      </c>
      <c r="G6" s="8" t="s">
        <v>31</v>
      </c>
    </row>
    <row r="7" spans="2:7" ht="60" customHeight="1" x14ac:dyDescent="0.3">
      <c r="B7" s="16" t="s">
        <v>20</v>
      </c>
      <c r="C7" s="17">
        <v>262844</v>
      </c>
      <c r="D7" s="12">
        <f>C7/Resumen!C8</f>
        <v>34313.838120104439</v>
      </c>
      <c r="E7" s="12">
        <f>D7/12</f>
        <v>2859.4865100087031</v>
      </c>
      <c r="F7" s="12">
        <f>E7</f>
        <v>2859.4865100087031</v>
      </c>
      <c r="G7" s="8" t="s">
        <v>32</v>
      </c>
    </row>
    <row r="8" spans="2:7" ht="60" customHeight="1" x14ac:dyDescent="0.3">
      <c r="B8" s="16" t="s">
        <v>33</v>
      </c>
      <c r="C8" s="17">
        <v>259224</v>
      </c>
      <c r="D8" s="12">
        <f>C8/Resumen!C8</f>
        <v>33841.253263707571</v>
      </c>
      <c r="E8" s="12">
        <f>D8/12</f>
        <v>2820.1044386422977</v>
      </c>
      <c r="F8" s="12">
        <f>E8</f>
        <v>2820.1044386422977</v>
      </c>
      <c r="G8" s="8" t="s">
        <v>34</v>
      </c>
    </row>
    <row r="9" spans="2:7" ht="60" customHeight="1" x14ac:dyDescent="0.3">
      <c r="B9" s="16" t="s">
        <v>22</v>
      </c>
      <c r="C9" s="17">
        <v>206337</v>
      </c>
      <c r="D9" s="12">
        <f>C9/Resumen!C8</f>
        <v>26936.945169712792</v>
      </c>
      <c r="E9" s="12">
        <f>D9/12</f>
        <v>2244.7454308093993</v>
      </c>
      <c r="F9" s="12">
        <f>E9</f>
        <v>2244.7454308093993</v>
      </c>
      <c r="G9" s="8" t="s">
        <v>35</v>
      </c>
    </row>
    <row r="11" spans="2:7" ht="15.6" x14ac:dyDescent="0.3">
      <c r="B11" s="9" t="s">
        <v>36</v>
      </c>
    </row>
    <row r="12" spans="2:7" ht="27.6" x14ac:dyDescent="0.3">
      <c r="B12" s="10" t="s">
        <v>37</v>
      </c>
      <c r="C12" s="10" t="s">
        <v>38</v>
      </c>
      <c r="D12" s="10" t="s">
        <v>39</v>
      </c>
      <c r="E12" s="10" t="s">
        <v>40</v>
      </c>
      <c r="F12" s="10" t="s">
        <v>41</v>
      </c>
      <c r="G12" s="10" t="s">
        <v>30</v>
      </c>
    </row>
    <row r="13" spans="2:7" ht="30" customHeight="1" x14ac:dyDescent="0.3">
      <c r="B13" s="18" t="s">
        <v>42</v>
      </c>
      <c r="C13" s="19">
        <v>190</v>
      </c>
      <c r="D13" s="19">
        <v>260</v>
      </c>
      <c r="E13" s="19">
        <v>3956</v>
      </c>
      <c r="F13" s="19">
        <v>5492</v>
      </c>
      <c r="G13" s="1" t="s">
        <v>43</v>
      </c>
    </row>
    <row r="14" spans="2:7" ht="30" customHeight="1" x14ac:dyDescent="0.3">
      <c r="B14" s="18" t="s">
        <v>44</v>
      </c>
      <c r="C14" s="19">
        <v>270</v>
      </c>
      <c r="D14" s="19">
        <v>420</v>
      </c>
      <c r="E14" s="19">
        <v>5140</v>
      </c>
      <c r="F14" s="19">
        <v>8727</v>
      </c>
      <c r="G14" s="1"/>
    </row>
    <row r="15" spans="2:7" ht="30" customHeight="1" x14ac:dyDescent="0.3">
      <c r="B15" s="18" t="s">
        <v>45</v>
      </c>
      <c r="C15" s="19">
        <v>430</v>
      </c>
      <c r="D15" s="19">
        <v>650</v>
      </c>
      <c r="E15" s="19">
        <v>8095</v>
      </c>
      <c r="F15" s="19">
        <v>12399</v>
      </c>
      <c r="G15" s="1"/>
    </row>
    <row r="16" spans="2:7" ht="30" customHeight="1" x14ac:dyDescent="0.3">
      <c r="B16" s="18" t="s">
        <v>46</v>
      </c>
      <c r="C16" s="19">
        <v>660</v>
      </c>
      <c r="D16" s="19">
        <v>890</v>
      </c>
      <c r="E16" s="19">
        <v>11491</v>
      </c>
      <c r="F16" s="19">
        <v>15503</v>
      </c>
      <c r="G16" s="1"/>
    </row>
    <row r="17" spans="2:7" ht="30" customHeight="1" x14ac:dyDescent="0.3">
      <c r="B17" s="18" t="s">
        <v>47</v>
      </c>
      <c r="C17" s="19">
        <v>1000</v>
      </c>
      <c r="D17" s="19">
        <v>1100</v>
      </c>
      <c r="E17" s="19">
        <v>16090</v>
      </c>
      <c r="F17" s="19">
        <v>17719</v>
      </c>
      <c r="G17" s="1"/>
    </row>
    <row r="19" spans="2:7" ht="99.75" customHeight="1" x14ac:dyDescent="0.3">
      <c r="B19" s="2" t="s">
        <v>48</v>
      </c>
      <c r="C19" s="2"/>
      <c r="D19" s="2"/>
      <c r="E19" s="2"/>
      <c r="F19" s="2"/>
      <c r="G19" s="2"/>
    </row>
  </sheetData>
  <mergeCells count="2">
    <mergeCell ref="G13:G17"/>
    <mergeCell ref="B19:G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12"/>
  <sheetViews>
    <sheetView showGridLines="0" zoomScaleNormal="100" workbookViewId="0"/>
  </sheetViews>
  <sheetFormatPr baseColWidth="10" defaultColWidth="8.6640625" defaultRowHeight="14.4" x14ac:dyDescent="0.3"/>
  <cols>
    <col min="1" max="1" width="3" customWidth="1"/>
    <col min="2" max="2" width="30" customWidth="1"/>
    <col min="3" max="6" width="13" customWidth="1"/>
    <col min="7" max="8" width="16" customWidth="1"/>
    <col min="9" max="9" width="18" customWidth="1"/>
  </cols>
  <sheetData>
    <row r="2" spans="2:9" ht="21" x14ac:dyDescent="0.4">
      <c r="B2" s="3" t="s">
        <v>49</v>
      </c>
    </row>
    <row r="3" spans="2:9" x14ac:dyDescent="0.3">
      <c r="B3" s="4" t="s">
        <v>50</v>
      </c>
    </row>
    <row r="5" spans="2:9" ht="27.6" x14ac:dyDescent="0.3">
      <c r="B5" s="10" t="s">
        <v>16</v>
      </c>
      <c r="C5" s="10" t="s">
        <v>51</v>
      </c>
      <c r="D5" s="10" t="s">
        <v>52</v>
      </c>
      <c r="E5" s="10" t="s">
        <v>53</v>
      </c>
      <c r="F5" s="10" t="s">
        <v>54</v>
      </c>
      <c r="G5" s="10" t="s">
        <v>55</v>
      </c>
      <c r="H5" s="10" t="s">
        <v>28</v>
      </c>
      <c r="I5" s="10" t="s">
        <v>56</v>
      </c>
    </row>
    <row r="6" spans="2:9" x14ac:dyDescent="0.3">
      <c r="B6" s="11" t="s">
        <v>19</v>
      </c>
      <c r="C6" s="20">
        <v>1</v>
      </c>
      <c r="D6" s="20">
        <v>1.5</v>
      </c>
      <c r="E6" s="20">
        <v>0.25</v>
      </c>
      <c r="F6" s="20">
        <v>0.25</v>
      </c>
      <c r="G6" s="15">
        <f>SUM(C6:F6)</f>
        <v>3</v>
      </c>
      <c r="H6" s="12">
        <f>'Tarifas y Fuentes'!E6</f>
        <v>3490.9051348999128</v>
      </c>
      <c r="I6" s="12">
        <f>G6*H6</f>
        <v>10472.715404699738</v>
      </c>
    </row>
    <row r="7" spans="2:9" x14ac:dyDescent="0.3">
      <c r="B7" s="11" t="s">
        <v>20</v>
      </c>
      <c r="C7" s="20">
        <v>0.25</v>
      </c>
      <c r="D7" s="20">
        <v>0.25</v>
      </c>
      <c r="E7" s="20">
        <v>0.25</v>
      </c>
      <c r="F7" s="20">
        <v>0.75</v>
      </c>
      <c r="G7" s="15">
        <f>SUM(C7:F7)</f>
        <v>1.5</v>
      </c>
      <c r="H7" s="12">
        <f>'Tarifas y Fuentes'!E7</f>
        <v>2859.4865100087031</v>
      </c>
      <c r="I7" s="12">
        <f>G7*H7</f>
        <v>4289.2297650130549</v>
      </c>
    </row>
    <row r="8" spans="2:9" x14ac:dyDescent="0.3">
      <c r="B8" s="11" t="s">
        <v>33</v>
      </c>
      <c r="C8" s="20">
        <v>0</v>
      </c>
      <c r="D8" s="20">
        <v>0</v>
      </c>
      <c r="E8" s="20">
        <v>0.75</v>
      </c>
      <c r="F8" s="20">
        <v>0.25</v>
      </c>
      <c r="G8" s="15">
        <f>SUM(C8:F8)</f>
        <v>1</v>
      </c>
      <c r="H8" s="12">
        <f>'Tarifas y Fuentes'!E8</f>
        <v>2820.1044386422977</v>
      </c>
      <c r="I8" s="12">
        <f>G8*H8</f>
        <v>2820.1044386422977</v>
      </c>
    </row>
    <row r="9" spans="2:9" x14ac:dyDescent="0.3">
      <c r="B9" s="11" t="s">
        <v>22</v>
      </c>
      <c r="C9" s="20">
        <v>0</v>
      </c>
      <c r="D9" s="20">
        <v>0</v>
      </c>
      <c r="E9" s="20">
        <v>0.5</v>
      </c>
      <c r="F9" s="20">
        <v>0.25</v>
      </c>
      <c r="G9" s="15">
        <f>SUM(C9:F9)</f>
        <v>0.75</v>
      </c>
      <c r="H9" s="12">
        <f>'Tarifas y Fuentes'!E9</f>
        <v>2244.7454308093993</v>
      </c>
      <c r="I9" s="12">
        <f>G9*H9</f>
        <v>1683.5590731070495</v>
      </c>
    </row>
    <row r="10" spans="2:9" x14ac:dyDescent="0.3">
      <c r="B10" s="13" t="s">
        <v>57</v>
      </c>
      <c r="C10" s="21">
        <f>SUM(C6:C9)</f>
        <v>1.25</v>
      </c>
      <c r="D10" s="21">
        <f>SUM(D6:D9)</f>
        <v>1.75</v>
      </c>
      <c r="E10" s="21">
        <f>SUM(E6:E9)</f>
        <v>1.75</v>
      </c>
      <c r="F10" s="21">
        <f>SUM(F6:F9)</f>
        <v>1.5</v>
      </c>
      <c r="G10" s="21">
        <f>SUM(G6:G9)</f>
        <v>6.25</v>
      </c>
      <c r="H10" s="22"/>
      <c r="I10" s="14">
        <f>SUM(I6:I9)</f>
        <v>19265.608681462138</v>
      </c>
    </row>
    <row r="12" spans="2:9" ht="79.5" customHeight="1" x14ac:dyDescent="0.3">
      <c r="B12" s="2" t="s">
        <v>58</v>
      </c>
      <c r="C12" s="2"/>
      <c r="D12" s="2"/>
      <c r="E12" s="2"/>
      <c r="F12" s="2"/>
      <c r="G12" s="2"/>
      <c r="H12" s="2"/>
      <c r="I12" s="2"/>
    </row>
  </sheetData>
  <mergeCells count="1">
    <mergeCell ref="B12:I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
  <sheetViews>
    <sheetView showGridLines="0" zoomScaleNormal="100" workbookViewId="0"/>
  </sheetViews>
  <sheetFormatPr baseColWidth="10" defaultColWidth="8.6640625" defaultRowHeight="14.4" x14ac:dyDescent="0.3"/>
  <cols>
    <col min="1" max="1" width="3" customWidth="1"/>
    <col min="2" max="2" width="40" customWidth="1"/>
    <col min="3" max="5" width="16" customWidth="1"/>
    <col min="6" max="6" width="60" customWidth="1"/>
  </cols>
  <sheetData>
    <row r="2" spans="2:6" ht="21" x14ac:dyDescent="0.4">
      <c r="B2" s="3" t="s">
        <v>59</v>
      </c>
    </row>
    <row r="3" spans="2:6" x14ac:dyDescent="0.3">
      <c r="B3" s="4" t="s">
        <v>60</v>
      </c>
    </row>
    <row r="5" spans="2:6" ht="41.4" x14ac:dyDescent="0.3">
      <c r="B5" s="10" t="s">
        <v>61</v>
      </c>
      <c r="C5" s="10" t="s">
        <v>62</v>
      </c>
      <c r="D5" s="10" t="s">
        <v>63</v>
      </c>
      <c r="E5" s="10" t="s">
        <v>64</v>
      </c>
      <c r="F5" s="10" t="s">
        <v>65</v>
      </c>
    </row>
    <row r="6" spans="2:6" ht="75" customHeight="1" x14ac:dyDescent="0.3">
      <c r="B6" s="11" t="s">
        <v>66</v>
      </c>
      <c r="C6" s="19">
        <v>0.7</v>
      </c>
      <c r="D6" s="23">
        <v>300</v>
      </c>
      <c r="E6" s="12">
        <f>C6*D6*4</f>
        <v>840</v>
      </c>
      <c r="F6" s="8" t="s">
        <v>67</v>
      </c>
    </row>
    <row r="7" spans="2:6" ht="75" customHeight="1" x14ac:dyDescent="0.3">
      <c r="B7" s="11" t="s">
        <v>68</v>
      </c>
      <c r="C7" s="24">
        <v>2.3E-2</v>
      </c>
      <c r="D7" s="23">
        <v>50</v>
      </c>
      <c r="E7" s="12">
        <f>C7*D7*4</f>
        <v>4.5999999999999996</v>
      </c>
      <c r="F7" s="8" t="s">
        <v>69</v>
      </c>
    </row>
    <row r="8" spans="2:6" ht="60" customHeight="1" x14ac:dyDescent="0.3">
      <c r="B8" s="11" t="s">
        <v>70</v>
      </c>
      <c r="C8" s="19">
        <v>14</v>
      </c>
      <c r="D8" s="23">
        <v>3</v>
      </c>
      <c r="E8" s="12">
        <f>C8*D8*4</f>
        <v>168</v>
      </c>
      <c r="F8" s="8" t="s">
        <v>71</v>
      </c>
    </row>
    <row r="9" spans="2:6" x14ac:dyDescent="0.3">
      <c r="B9" s="13" t="s">
        <v>72</v>
      </c>
      <c r="E9" s="14">
        <f>SUM(E6:E8)</f>
        <v>1012.6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13"/>
  <sheetViews>
    <sheetView showGridLines="0" zoomScaleNormal="100" workbookViewId="0"/>
  </sheetViews>
  <sheetFormatPr baseColWidth="10" defaultColWidth="8.6640625" defaultRowHeight="14.4" x14ac:dyDescent="0.3"/>
  <cols>
    <col min="1" max="1" width="3" customWidth="1"/>
    <col min="2" max="2" width="14" customWidth="1"/>
    <col min="3" max="3" width="45" customWidth="1"/>
    <col min="4" max="4" width="14" customWidth="1"/>
    <col min="5" max="5" width="16" customWidth="1"/>
  </cols>
  <sheetData>
    <row r="2" spans="2:5" ht="21" x14ac:dyDescent="0.4">
      <c r="B2" s="3" t="s">
        <v>73</v>
      </c>
    </row>
    <row r="3" spans="2:5" x14ac:dyDescent="0.3">
      <c r="B3" s="4" t="s">
        <v>74</v>
      </c>
    </row>
    <row r="5" spans="2:5" ht="27.6" x14ac:dyDescent="0.3">
      <c r="B5" s="10" t="s">
        <v>75</v>
      </c>
      <c r="C5" s="10" t="s">
        <v>76</v>
      </c>
      <c r="D5" s="10" t="s">
        <v>77</v>
      </c>
      <c r="E5" s="10" t="s">
        <v>78</v>
      </c>
    </row>
    <row r="6" spans="2:5" ht="30" customHeight="1" x14ac:dyDescent="0.3">
      <c r="B6" s="25" t="s">
        <v>79</v>
      </c>
      <c r="C6" s="16" t="s">
        <v>80</v>
      </c>
      <c r="D6" s="26">
        <v>0.2</v>
      </c>
      <c r="E6" s="12">
        <f>D6*Resumen!C14</f>
        <v>4055.6417362924276</v>
      </c>
    </row>
    <row r="7" spans="2:5" ht="30" customHeight="1" x14ac:dyDescent="0.3">
      <c r="B7" s="25" t="s">
        <v>81</v>
      </c>
      <c r="C7" s="16" t="s">
        <v>82</v>
      </c>
      <c r="D7" s="26">
        <v>0.25</v>
      </c>
      <c r="E7" s="12">
        <f>D7*Resumen!C14</f>
        <v>5069.552170365534</v>
      </c>
    </row>
    <row r="8" spans="2:5" ht="30" customHeight="1" x14ac:dyDescent="0.3">
      <c r="B8" s="25" t="s">
        <v>83</v>
      </c>
      <c r="C8" s="16" t="s">
        <v>84</v>
      </c>
      <c r="D8" s="26">
        <v>0.05</v>
      </c>
      <c r="E8" s="12">
        <f>D8*Resumen!C14</f>
        <v>1013.9104340731069</v>
      </c>
    </row>
    <row r="9" spans="2:5" ht="30" customHeight="1" x14ac:dyDescent="0.3">
      <c r="B9" s="25" t="s">
        <v>85</v>
      </c>
      <c r="C9" s="16" t="s">
        <v>86</v>
      </c>
      <c r="D9" s="26">
        <v>0.35</v>
      </c>
      <c r="E9" s="12">
        <f>D9*Resumen!C14</f>
        <v>7097.3730385117469</v>
      </c>
    </row>
    <row r="10" spans="2:5" ht="30" customHeight="1" x14ac:dyDescent="0.3">
      <c r="B10" s="25" t="s">
        <v>87</v>
      </c>
      <c r="C10" s="16" t="s">
        <v>88</v>
      </c>
      <c r="D10" s="26">
        <v>0.15</v>
      </c>
      <c r="E10" s="12">
        <f>D10*Resumen!C14</f>
        <v>3041.7313022193202</v>
      </c>
    </row>
    <row r="11" spans="2:5" x14ac:dyDescent="0.3">
      <c r="B11" s="22" t="s">
        <v>57</v>
      </c>
      <c r="C11" s="13"/>
      <c r="D11" s="27">
        <f>SUM(D6:D10)</f>
        <v>1</v>
      </c>
      <c r="E11" s="14">
        <f>SUM(E6:E10)</f>
        <v>20278.208681462136</v>
      </c>
    </row>
    <row r="13" spans="2:5" ht="60" customHeight="1" x14ac:dyDescent="0.3">
      <c r="B13" s="2" t="s">
        <v>89</v>
      </c>
      <c r="C13" s="2"/>
      <c r="D13" s="2"/>
      <c r="E13" s="2"/>
    </row>
  </sheetData>
  <mergeCells count="1">
    <mergeCell ref="B13:E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14"/>
  <sheetViews>
    <sheetView showGridLines="0" zoomScaleNormal="100" workbookViewId="0"/>
  </sheetViews>
  <sheetFormatPr baseColWidth="10" defaultColWidth="8.6640625" defaultRowHeight="14.4" x14ac:dyDescent="0.3"/>
  <cols>
    <col min="1" max="1" width="3" customWidth="1"/>
    <col min="2" max="2" width="110" customWidth="1"/>
  </cols>
  <sheetData>
    <row r="2" spans="2:2" ht="21" x14ac:dyDescent="0.4">
      <c r="B2" s="3" t="s">
        <v>90</v>
      </c>
    </row>
    <row r="4" spans="2:2" x14ac:dyDescent="0.3">
      <c r="B4" s="28" t="s">
        <v>91</v>
      </c>
    </row>
    <row r="5" spans="2:2" x14ac:dyDescent="0.3">
      <c r="B5" s="28" t="s">
        <v>92</v>
      </c>
    </row>
    <row r="6" spans="2:2" ht="27" x14ac:dyDescent="0.3">
      <c r="B6" s="28" t="s">
        <v>93</v>
      </c>
    </row>
    <row r="7" spans="2:2" x14ac:dyDescent="0.3">
      <c r="B7" s="28" t="s">
        <v>94</v>
      </c>
    </row>
    <row r="8" spans="2:2" ht="27" x14ac:dyDescent="0.3">
      <c r="B8" s="28" t="s">
        <v>95</v>
      </c>
    </row>
    <row r="9" spans="2:2" ht="27" x14ac:dyDescent="0.3">
      <c r="B9" s="28" t="s">
        <v>96</v>
      </c>
    </row>
    <row r="10" spans="2:2" x14ac:dyDescent="0.3">
      <c r="B10" s="28" t="s">
        <v>97</v>
      </c>
    </row>
    <row r="11" spans="2:2" x14ac:dyDescent="0.3">
      <c r="B11" s="28" t="s">
        <v>98</v>
      </c>
    </row>
    <row r="12" spans="2:2" ht="27" x14ac:dyDescent="0.3">
      <c r="B12" s="28" t="s">
        <v>99</v>
      </c>
    </row>
    <row r="13" spans="2:2" ht="27" x14ac:dyDescent="0.3">
      <c r="B13" s="28" t="s">
        <v>100</v>
      </c>
    </row>
    <row r="14" spans="2:2" x14ac:dyDescent="0.3">
      <c r="B14" s="28" t="s">
        <v>101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Tarifas y Fuentes</vt:lpstr>
      <vt:lpstr>Costos de Personal</vt:lpstr>
      <vt:lpstr>Costos No Personal</vt:lpstr>
      <vt:lpstr>Cronograma de Pagos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Beto Hernandez Armas</cp:lastModifiedBy>
  <cp:revision>0</cp:revision>
  <dcterms:created xsi:type="dcterms:W3CDTF">2026-06-25T19:52:01Z</dcterms:created>
  <dcterms:modified xsi:type="dcterms:W3CDTF">2026-06-26T07:58:02Z</dcterms:modified>
  <dc:language>en-US</dc:language>
</cp:coreProperties>
</file>